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3952_ox_ac_uk/Documents/"/>
    </mc:Choice>
  </mc:AlternateContent>
  <xr:revisionPtr revIDLastSave="171" documentId="8_{36783E22-46AB-4725-A56E-AC5329C12533}" xr6:coauthVersionLast="47" xr6:coauthVersionMax="47" xr10:uidLastSave="{F0772EEC-3F24-4D35-B773-5F76CA532217}"/>
  <bookViews>
    <workbookView xWindow="28680" yWindow="-90" windowWidth="29040" windowHeight="15720" xr2:uid="{8AFF8CC4-4A2C-4A42-94C0-4BCD00A971A8}"/>
  </bookViews>
  <sheets>
    <sheet name="Kweku 2008" sheetId="1" r:id="rId1"/>
    <sheet name="Cisse 201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O5" i="1"/>
  <c r="E3" i="1"/>
  <c r="E4" i="1"/>
  <c r="O4" i="1" s="1"/>
  <c r="E5" i="1"/>
  <c r="Q5" i="1" s="1"/>
  <c r="E2" i="1"/>
  <c r="M5" i="1" s="1"/>
  <c r="E3" i="2"/>
  <c r="I4" i="1"/>
  <c r="J4" i="1"/>
  <c r="K4" i="1"/>
  <c r="I5" i="1"/>
  <c r="L5" i="1" s="1"/>
  <c r="J5" i="1"/>
  <c r="K5" i="1"/>
  <c r="J3" i="1"/>
  <c r="K3" i="1"/>
  <c r="I3" i="1"/>
  <c r="L3" i="1" s="1"/>
  <c r="M3" i="1" l="1"/>
  <c r="M4" i="1"/>
  <c r="P5" i="1"/>
  <c r="N4" i="1"/>
  <c r="N5" i="1"/>
  <c r="L4" i="1"/>
</calcChain>
</file>

<file path=xl/sharedStrings.xml><?xml version="1.0" encoding="utf-8"?>
<sst xmlns="http://schemas.openxmlformats.org/spreadsheetml/2006/main" count="55" uniqueCount="30">
  <si>
    <t>placebo</t>
  </si>
  <si>
    <t>sp</t>
  </si>
  <si>
    <t>asaq_bi</t>
  </si>
  <si>
    <t>asaq</t>
  </si>
  <si>
    <t>rate</t>
  </si>
  <si>
    <t>pe</t>
  </si>
  <si>
    <t>pe_ll</t>
  </si>
  <si>
    <t>pe_ul</t>
  </si>
  <si>
    <t>rr</t>
  </si>
  <si>
    <t>rr_ll</t>
  </si>
  <si>
    <t>rr_ul</t>
  </si>
  <si>
    <t>log(OR)</t>
  </si>
  <si>
    <t>sd of log(OR)</t>
  </si>
  <si>
    <t>spaq</t>
  </si>
  <si>
    <t>n</t>
  </si>
  <si>
    <t>non-events</t>
  </si>
  <si>
    <t>events</t>
  </si>
  <si>
    <t>log(RR) = log(OR)</t>
  </si>
  <si>
    <t>se of log(OR)</t>
  </si>
  <si>
    <t>Notes for Kweku 2008
https://doi.org/10.1371/journal.pone.0004000</t>
  </si>
  <si>
    <t>-  Extracted rate, n, adjusted protective efficacy (1-rate ratio) from paper</t>
  </si>
  <si>
    <t>-  Back-calculated adjusted rate ratio from PE (RR = 1-PE)</t>
  </si>
  <si>
    <t>-  Computed 6 comparisons for a 4 arm trial because netmeta requires all possible comparisons for multi-arm trials (assuming internal consistency)</t>
  </si>
  <si>
    <t>-  log(OR) approximated as the natural log of adjusted rate ratio, assuming for a rare event that the OR is approximately equal to RR (Reference, Kirkwood anf Sterne, Essential Medical Statistics 2003)</t>
  </si>
  <si>
    <t>-  Standard error for each logOR using delta method: se of log(RR) = sqrt(1/a + 1/b + 1/c + 1/d) (Reference, Kirkwood anf Sterne, Essential Medical Statistics 2003)</t>
  </si>
  <si>
    <t>Reference</t>
  </si>
  <si>
    <t>Notes for Cisse 2016
https://doi.org/10.1371/journal.pmed.1002175</t>
  </si>
  <si>
    <t>-  Standard deviation for logOR calculated using confidence intervals reported logIRR (Reference, Kirkwood anf Sterne, Essential Medical Statistics 2003)</t>
  </si>
  <si>
    <t>- number of participants per arm not reported reliably in trial. Reported treatment effect has been adjusted for clustering and time effects, cannot be done using aggregate data</t>
  </si>
  <si>
    <t>- reported adjusted treatement effect due to imbalances in baseline confounders. Cannot use aggregate data to estimate odds ratio as this will not be a corrected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</si>
</sst>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quotePrefix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D944-575B-4C69-8EBA-00EA390956F0}">
  <dimension ref="A1:Q14"/>
  <sheetViews>
    <sheetView tabSelected="1" workbookViewId="0">
      <selection activeCell="A10" sqref="A10"/>
    </sheetView>
  </sheetViews>
  <sheetFormatPr defaultRowHeight="14.4" x14ac:dyDescent="0.3"/>
  <cols>
    <col min="12" max="12" width="15.5546875" customWidth="1"/>
    <col min="13" max="13" width="14" customWidth="1"/>
    <col min="14" max="14" width="15.88671875" customWidth="1"/>
    <col min="15" max="15" width="13.109375" customWidth="1"/>
    <col min="16" max="16" width="15.6640625" customWidth="1"/>
    <col min="17" max="17" width="11.6640625" customWidth="1"/>
  </cols>
  <sheetData>
    <row r="1" spans="1:17" x14ac:dyDescent="0.3">
      <c r="B1" t="s">
        <v>14</v>
      </c>
      <c r="C1" t="s">
        <v>4</v>
      </c>
      <c r="D1" t="s">
        <v>16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17</v>
      </c>
      <c r="M1" t="s">
        <v>18</v>
      </c>
      <c r="N1" t="s">
        <v>17</v>
      </c>
      <c r="O1" t="s">
        <v>18</v>
      </c>
      <c r="P1" t="s">
        <v>17</v>
      </c>
      <c r="Q1" t="s">
        <v>18</v>
      </c>
    </row>
    <row r="2" spans="1:17" x14ac:dyDescent="0.3">
      <c r="A2" t="s">
        <v>0</v>
      </c>
      <c r="B2">
        <v>650</v>
      </c>
      <c r="C2">
        <v>1.9</v>
      </c>
      <c r="D2">
        <v>19</v>
      </c>
      <c r="E2">
        <f>B2-D2</f>
        <v>631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</row>
    <row r="3" spans="1:17" x14ac:dyDescent="0.3">
      <c r="A3" t="s">
        <v>1</v>
      </c>
      <c r="B3">
        <v>613</v>
      </c>
      <c r="C3">
        <v>1.7</v>
      </c>
      <c r="D3">
        <v>11</v>
      </c>
      <c r="E3">
        <f t="shared" ref="E3:E5" si="0">B3-D3</f>
        <v>602</v>
      </c>
      <c r="F3">
        <v>7.4</v>
      </c>
      <c r="G3">
        <v>-199</v>
      </c>
      <c r="H3">
        <v>71.400000000000006</v>
      </c>
      <c r="I3">
        <f>1-(F3/100)</f>
        <v>0.92599999999999993</v>
      </c>
      <c r="J3">
        <f t="shared" ref="J3:K3" si="1">1-(G3/100)</f>
        <v>2.99</v>
      </c>
      <c r="K3">
        <f t="shared" si="1"/>
        <v>0.28599999999999992</v>
      </c>
      <c r="L3">
        <f>LN(I3)</f>
        <v>-7.6881044335957743E-2</v>
      </c>
      <c r="M3">
        <f>SQRT((1/D3)+(1/D2)+(1/E2)+(1/E3))</f>
        <v>0.38312737500529559</v>
      </c>
      <c r="N3" t="s">
        <v>25</v>
      </c>
      <c r="O3" t="s">
        <v>25</v>
      </c>
    </row>
    <row r="4" spans="1:17" x14ac:dyDescent="0.3">
      <c r="A4" t="s">
        <v>2</v>
      </c>
      <c r="B4">
        <v>562</v>
      </c>
      <c r="C4">
        <v>2.1</v>
      </c>
      <c r="D4">
        <v>7</v>
      </c>
      <c r="E4">
        <f t="shared" si="0"/>
        <v>555</v>
      </c>
      <c r="F4">
        <v>-10.5</v>
      </c>
      <c r="G4">
        <v>-815</v>
      </c>
      <c r="H4">
        <v>55.9</v>
      </c>
      <c r="I4">
        <f t="shared" ref="I4:I5" si="2">1-(F4/100)</f>
        <v>1.105</v>
      </c>
      <c r="J4">
        <f t="shared" ref="J4:J5" si="3">1-(G4/100)</f>
        <v>9.15</v>
      </c>
      <c r="K4">
        <f t="shared" ref="K4:K5" si="4">1-(H4/100)</f>
        <v>0.44100000000000006</v>
      </c>
      <c r="L4">
        <f t="shared" ref="L4:L5" si="5">LN(I4)</f>
        <v>9.9845334969716121E-2</v>
      </c>
      <c r="M4">
        <f>SQRT((1/D4)+(1/D2)+(1/E2)+(1/E4))</f>
        <v>0.44595438069402998</v>
      </c>
      <c r="N4">
        <f>LN(I4/I3)</f>
        <v>0.17672637930567378</v>
      </c>
      <c r="O4">
        <f>SQRT((1/D4)+(1/E4)+(1/D2)+(1/E2))</f>
        <v>0.44595438069402998</v>
      </c>
      <c r="P4" t="s">
        <v>25</v>
      </c>
      <c r="Q4" t="s">
        <v>25</v>
      </c>
    </row>
    <row r="5" spans="1:17" x14ac:dyDescent="0.3">
      <c r="A5" t="s">
        <v>3</v>
      </c>
      <c r="B5">
        <v>626</v>
      </c>
      <c r="C5">
        <v>1.7</v>
      </c>
      <c r="D5">
        <v>7</v>
      </c>
      <c r="E5">
        <f t="shared" si="0"/>
        <v>619</v>
      </c>
      <c r="F5">
        <v>15.1</v>
      </c>
      <c r="G5">
        <v>-281.8</v>
      </c>
      <c r="H5">
        <v>81.099999999999994</v>
      </c>
      <c r="I5">
        <f t="shared" si="2"/>
        <v>0.84899999999999998</v>
      </c>
      <c r="J5">
        <f t="shared" si="3"/>
        <v>3.8180000000000001</v>
      </c>
      <c r="K5">
        <f t="shared" si="4"/>
        <v>0.18900000000000006</v>
      </c>
      <c r="L5">
        <f t="shared" si="5"/>
        <v>-0.16369609267078977</v>
      </c>
      <c r="M5">
        <f>SQRT((1/D5)+(1/D2)+(1/E2)+(1/E5))</f>
        <v>0.4457454618318541</v>
      </c>
      <c r="N5">
        <f>LN(I5/I3)</f>
        <v>-8.6815048334832057E-2</v>
      </c>
      <c r="O5">
        <f>SQRT((1/D5)+(1/E5)+(1/D2)+(1/E2))</f>
        <v>0.4457454618318541</v>
      </c>
      <c r="P5">
        <f>LN(I5/I4)</f>
        <v>-0.26354142764050581</v>
      </c>
      <c r="Q5">
        <f>SQRT((1/D5)+(1/E5)+(1/D2)+(1/E2))</f>
        <v>0.4457454618318541</v>
      </c>
    </row>
    <row r="8" spans="1:17" x14ac:dyDescent="0.3">
      <c r="A8" s="1" t="s">
        <v>19</v>
      </c>
    </row>
    <row r="9" spans="1:17" x14ac:dyDescent="0.3">
      <c r="A9" s="3" t="s">
        <v>29</v>
      </c>
    </row>
    <row r="10" spans="1:17" x14ac:dyDescent="0.3">
      <c r="A10" s="2" t="s">
        <v>20</v>
      </c>
    </row>
    <row r="11" spans="1:17" x14ac:dyDescent="0.3">
      <c r="A11" s="2" t="s">
        <v>21</v>
      </c>
    </row>
    <row r="12" spans="1:17" x14ac:dyDescent="0.3">
      <c r="A12" s="2" t="s">
        <v>23</v>
      </c>
    </row>
    <row r="13" spans="1:17" x14ac:dyDescent="0.3">
      <c r="A13" s="2" t="s">
        <v>24</v>
      </c>
    </row>
    <row r="14" spans="1:17" x14ac:dyDescent="0.3">
      <c r="A1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6F9B-CAB5-4CE2-8847-AD8621653DEA}">
  <dimension ref="A1:F9"/>
  <sheetViews>
    <sheetView workbookViewId="0">
      <selection activeCell="A8" sqref="A8"/>
    </sheetView>
  </sheetViews>
  <sheetFormatPr defaultRowHeight="14.4" x14ac:dyDescent="0.3"/>
  <sheetData>
    <row r="1" spans="1:6" x14ac:dyDescent="0.3">
      <c r="B1" t="s">
        <v>8</v>
      </c>
      <c r="C1" t="s">
        <v>10</v>
      </c>
      <c r="D1" t="s">
        <v>9</v>
      </c>
      <c r="E1" t="s">
        <v>11</v>
      </c>
      <c r="F1" t="s">
        <v>12</v>
      </c>
    </row>
    <row r="2" spans="1:6" x14ac:dyDescent="0.3">
      <c r="A2" t="s">
        <v>0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</row>
    <row r="3" spans="1:6" x14ac:dyDescent="0.3">
      <c r="A3" t="s">
        <v>13</v>
      </c>
      <c r="B3">
        <v>0.55000000000000004</v>
      </c>
      <c r="C3">
        <v>0.94</v>
      </c>
      <c r="D3">
        <v>0.32</v>
      </c>
      <c r="E3">
        <f>LN(B3)</f>
        <v>-0.59783700075562041</v>
      </c>
      <c r="F3">
        <f>(LN(C3)-LN(D3))/(2*1.96)</f>
        <v>0.27488746925262175</v>
      </c>
    </row>
    <row r="6" spans="1:6" x14ac:dyDescent="0.3">
      <c r="A6" s="1" t="s">
        <v>26</v>
      </c>
    </row>
    <row r="7" spans="1:6" x14ac:dyDescent="0.3">
      <c r="A7" s="3" t="s">
        <v>28</v>
      </c>
    </row>
    <row r="8" spans="1:6" x14ac:dyDescent="0.3">
      <c r="A8" s="2" t="s">
        <v>23</v>
      </c>
    </row>
    <row r="9" spans="1:6" x14ac:dyDescent="0.3">
      <c r="A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Kweku 2008</vt:lpstr>
      <vt:lpstr>Cisse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Darji</dc:creator>
  <cp:lastModifiedBy>Dhruv Darji</cp:lastModifiedBy>
  <dcterms:created xsi:type="dcterms:W3CDTF">2026-03-17T18:02:27Z</dcterms:created>
  <dcterms:modified xsi:type="dcterms:W3CDTF">2026-03-19T15:59:39Z</dcterms:modified>
</cp:coreProperties>
</file>