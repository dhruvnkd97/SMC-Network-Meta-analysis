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grte3952_ox_ac_uk/Documents/"/>
    </mc:Choice>
  </mc:AlternateContent>
  <xr:revisionPtr revIDLastSave="1" documentId="8_{10CEBB47-DD1B-4022-BDAD-799344E10621}" xr6:coauthVersionLast="47" xr6:coauthVersionMax="47" xr10:uidLastSave="{DD3534FE-3AA1-404B-BFBD-458F3DAD4560}"/>
  <bookViews>
    <workbookView xWindow="-108" yWindow="-108" windowWidth="23256" windowHeight="12456" xr2:uid="{3746A2AA-F1EE-4455-91AD-09A7AA39E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W13" i="1" s="1"/>
  <c r="T13" i="1"/>
  <c r="R13" i="1"/>
  <c r="V12" i="1"/>
  <c r="W12" i="1" s="1"/>
  <c r="T12" i="1"/>
  <c r="R12" i="1"/>
  <c r="V11" i="1"/>
  <c r="W11" i="1" s="1"/>
  <c r="T11" i="1"/>
  <c r="R11" i="1"/>
  <c r="W10" i="1"/>
  <c r="V9" i="1"/>
  <c r="W9" i="1" s="1"/>
  <c r="T9" i="1"/>
  <c r="R9" i="1"/>
  <c r="W8" i="1"/>
  <c r="V8" i="1"/>
  <c r="T8" i="1"/>
  <c r="R8" i="1"/>
  <c r="P8" i="1"/>
  <c r="M8" i="1"/>
  <c r="V7" i="1"/>
  <c r="W7" i="1" s="1"/>
  <c r="T7" i="1"/>
  <c r="R7" i="1"/>
  <c r="V6" i="1"/>
  <c r="W6" i="1" s="1"/>
  <c r="T6" i="1"/>
  <c r="R6" i="1"/>
  <c r="V5" i="1"/>
  <c r="W5" i="1" s="1"/>
  <c r="T5" i="1"/>
  <c r="R5" i="1"/>
  <c r="V4" i="1"/>
  <c r="W4" i="1" s="1"/>
  <c r="T4" i="1"/>
  <c r="R4" i="1"/>
  <c r="V3" i="1"/>
  <c r="W3" i="1" s="1"/>
  <c r="T3" i="1"/>
  <c r="R3" i="1"/>
  <c r="V2" i="1"/>
  <c r="W2" i="1" s="1"/>
  <c r="T2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tc={8D19AA25-D134-47B2-A0D9-2E3203FA9E95}</author>
    <author>tc={C3E7D1AC-1CB4-45FB-8767-62C320E513AC}</author>
    <author>tc={90088975-DE69-43AA-94A1-4E48A6C64F99}</author>
    <author>tc={B8E0DC1B-7AA3-45E9-BCAE-2E1FAC1C4D21}</author>
    <author>tc={05A6749E-0BAD-44A1-88BF-9B4723D51866}</author>
    <author>tc={2AC3DC04-73C5-4E52-9F1B-18F7682D87C8}</author>
  </authors>
  <commentList>
    <comment ref="B2" authorId="0" shapeId="0" xr:uid="{8D19AA25-D134-47B2-A0D9-2E3203FA9E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Incidence of SM reported for overall study period, not for year 1</t>
      </text>
    </comment>
    <comment ref="B5" authorId="1" shapeId="0" xr:uid="{C3E7D1AC-1CB4-45FB-8767-62C320E513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Incidence of SM not reported, although authors commented on finding no effect of SMC on SM
Reported efficacy against severe anaemia (Hb &lt; 6 d/dl)
IPD may have SM cases</t>
      </text>
    </comment>
    <comment ref="B6" authorId="2" shapeId="0" xr:uid="{90088975-DE69-43AA-94A1-4E48A6C6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directly reports efficacy against SM</t>
      </text>
    </comment>
    <comment ref="B7" authorId="3" shapeId="0" xr:uid="{B8E0DC1B-7AA3-45E9-BCAE-2E1FAC1C4D21}">
      <text>
        <t>[Threaded comment]
Your version of Excel allows you to read this threaded comment; however, any edits to it will get removed if the file is opened in a newer version of Excel. Learn more: https://go.microsoft.com/fwlink/?linkid=870924
Comment:
    5 cases of SM reported in nodrug arm. Person-time of follow-up not reported for severe malaria outcome, hence IRR cannot be readily estimated</t>
      </text>
    </comment>
    <comment ref="B10" authorId="4" shapeId="0" xr:uid="{05A6749E-0BAD-44A1-88BF-9B4723D5186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cases and person-time reported in placebo arm, hence IRR was estimated.</t>
      </text>
    </comment>
    <comment ref="B14" authorId="5" shapeId="0" xr:uid="{2AC3DC04-73C5-4E52-9F1B-18F7682D87C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on SM is unclear. Paper mentions:
5 hospital admissions in SP group and 8 (2 SM admissions for same child) in placebo group. Person-time not given</t>
      </text>
    </comment>
  </commentList>
</comments>
</file>

<file path=xl/sharedStrings.xml><?xml version="1.0" encoding="utf-8"?>
<sst xmlns="http://schemas.openxmlformats.org/spreadsheetml/2006/main" count="127" uniqueCount="68">
  <si>
    <t>study</t>
  </si>
  <si>
    <t>studyid</t>
  </si>
  <si>
    <t>title</t>
  </si>
  <si>
    <t>authors</t>
  </si>
  <si>
    <t>year</t>
  </si>
  <si>
    <t>study_rcttype</t>
  </si>
  <si>
    <t>study_rand</t>
  </si>
  <si>
    <t>coverage</t>
  </si>
  <si>
    <t>study_agemin</t>
  </si>
  <si>
    <t>study_agemax</t>
  </si>
  <si>
    <t>trt1</t>
  </si>
  <si>
    <t>event1</t>
  </si>
  <si>
    <t>ptime1</t>
  </si>
  <si>
    <t>trt2</t>
  </si>
  <si>
    <t>event2</t>
  </si>
  <si>
    <t>ptime2</t>
  </si>
  <si>
    <t>TE</t>
  </si>
  <si>
    <t>logTE</t>
  </si>
  <si>
    <t>ll</t>
  </si>
  <si>
    <t>lnLL</t>
  </si>
  <si>
    <t>ul</t>
  </si>
  <si>
    <t>lnUL</t>
  </si>
  <si>
    <t>seTE</t>
  </si>
  <si>
    <t>Sev mal / malaria adm as outcome?</t>
  </si>
  <si>
    <t>Chandramohan2021</t>
  </si>
  <si>
    <t>Seasonal Malaria Vaccination with or without Seasonal Malaria Chemoprevention</t>
  </si>
  <si>
    <t>Chandramohan, Daniel; Zongo, Issaka; Sagara, Issaka; Cairns, Matthew; Yerbanga, Rakiswende-Serge; Diarra, Modibo; Nikiema, Frederic; Tapily, Amadou; Sompougdou, Frederic; Issiaka, Djibrilla; Zoungrana, Charles; Sanogo, Koualy; Haro, Alassane; Kaya, Mahamadou; Sienou, Abdoul-Aziz; Traore, Seydou; Mahamar, Almahamoudou; Thera, Ismaila; Diarra, Kalifa; Dolo, Amagana; Kuepfer, Irene; Snell, Paul; Milligan, Paul; Ockenhouse, Christian; Ofori-Anyinam, Opokua; Tinto, Halidou; Djimde, Abdoulaye; Ouedraogo, Jean-Bosco; Dicko, Alassane; Greenwood, Brian</t>
  </si>
  <si>
    <t>iRCT</t>
  </si>
  <si>
    <t>rtss</t>
  </si>
  <si>
    <t>spaq</t>
  </si>
  <si>
    <t>yes</t>
  </si>
  <si>
    <t>Need IPD</t>
  </si>
  <si>
    <t>spaq+rtss</t>
  </si>
  <si>
    <t>Ndiaye2019</t>
  </si>
  <si>
    <t>Seasonal malaria chemoprevention combined with community case management of malaria in children under 10 years of age, over 5 months, in south-east Senegal: A cluster-randomised trial</t>
  </si>
  <si>
    <t>Ndiaye, Jean Louis A.; Ndiaye, Youssoupha; Ba, Mamadou S.; Faye, Babacar; Ndiaye, Maguette; Seck, Amadou; Tine, Roger; Thior, Pape Moussa; Atwal, Sharanjeet; Beshir, Khalid; Sutherland, Colin; Gaye, Oumar; Milligan, Paul</t>
  </si>
  <si>
    <t>cRCT</t>
  </si>
  <si>
    <t>not reported</t>
  </si>
  <si>
    <t>nodrug</t>
  </si>
  <si>
    <t>Cisse2016</t>
  </si>
  <si>
    <t>Effectiveness of Seasonal Malaria Chemoprevention in Children under Ten Years of Age in Senegal: A Stepped-Wedge Cluster-Randomised Trial</t>
  </si>
  <si>
    <t>CissÃ©, B.; Ba, E.; Sokhna, C.; Ndiaye, J. L.; Gomis, J. F.; Dial, Y.; Pitt, C.; Ndiaye, M.; Cairns, M.; Faye, E.; Ndiaye, M.; Lo, A.; Tine, R.; Faye, S.; Faye, B.; Sy, O.; Konate, L.; Kouevijdin, E.; Flach, C.; Faye, O.; Trape, J. F.; Sutherland, C.; Fall, F. B.; Thior, P. M.; Faye, O. K.; Greenwood, B.; Gaye, O.; Milligan, P.</t>
  </si>
  <si>
    <t>Tine2011</t>
  </si>
  <si>
    <t>Impact of combining intermittent preventive treatment with home management of malaria in children less than 10 years in a rural area of Senegal: a cluster randomized trial</t>
  </si>
  <si>
    <t>Tine, Roger C. K.; Faye, Babacar; Ndour, Cheikh T.; Ndiaye, Jean L.; Ndiaye, Magatte; Bassene, Charlemagne; Magnussen, Pascal; Bygbjerg, Ib C.; Sylla, Khadim; Ndour, Jacques D.; Gaye, Oumar</t>
  </si>
  <si>
    <t>no cases in intervention group</t>
  </si>
  <si>
    <t>Use person-ime from malaria arm? Need IPD</t>
  </si>
  <si>
    <t>Dicko2011</t>
  </si>
  <si>
    <t>Intermittent preventive treatment of malaria provides substantial protection against malaria in children already protected by an insecticide-treated bednet in Mali: a randomised, double-blind, placebo-controlled trial</t>
  </si>
  <si>
    <t>Dicko, A.; Diallo, A. I.; Tembine, I.; Dicko, Y.; Dara, N.; Sidibe, Y.; Santara, G.; Diawara, H.; Conare, T.; Djimde, A.; Chandramohan, D.; Cousens, S.; Milligan, P. J.; Diallo, D. A.; Doumbo, O. K.; Greenwood, B.</t>
  </si>
  <si>
    <t>placebo</t>
  </si>
  <si>
    <t>Konate2011</t>
  </si>
  <si>
    <t>Intermittent preventive treatment of malaria provides substantial protection against malaria in children already protected by an insecticide-treated bednet in Burkina Faso: a randomised, double-blind, placebo-controlled trial</t>
  </si>
  <si>
    <t>Konate, A. T.; Yaro, J. B.; Ouedraogo, A. Z.; Diarra, A.; Gansane, A.; Soulama, I.; Kangoye, D. T.; Kabore, Y.; Ouedraogo, E.; Ouedraogo, A.; Tiono, A. B.; Ouedraogo, I. N.; Chandramohan, D.; Cousens, S.; Milligan, P. J.; Sirima, S. B.; Greenwood, B.; Diallo, D. A.</t>
  </si>
  <si>
    <t>Dicko2008</t>
  </si>
  <si>
    <t>Impact of intermittent preventive treatment with sulphadoxine-pyrimethamine targeting the transmission season on the incidence of clinical malaria in children in Mali</t>
  </si>
  <si>
    <t>Dicko, A.; Sagara, I.; Sissoko, M. S.; Guindo, O.; Diallo, A. I.; Kone, M.</t>
  </si>
  <si>
    <t>sp</t>
  </si>
  <si>
    <t>Kweku2008</t>
  </si>
  <si>
    <t>Seasonal intermittent preventive treatment for the prevention of anaemia and malaria in Ghanaian children: a randomized, placebo controlled trial</t>
  </si>
  <si>
    <t>Kweku, Margaret; Liu, Dongmei; Adjuik, Martin; Binka, Fred; Seidu, Mahmood; Greenwood, Brian; Chandramohan, Daniel</t>
  </si>
  <si>
    <t>malaria admissions</t>
  </si>
  <si>
    <t>asaq_bi</t>
  </si>
  <si>
    <t>asaq</t>
  </si>
  <si>
    <t>Bojang22010</t>
  </si>
  <si>
    <t>Prevention of the recurrence of anaemia in Gambian children following discharge from hospital</t>
  </si>
  <si>
    <t>Bojang, Kalifa A.; Milligan, Paul J. M.; Conway, David J.; Sisay-Joof, Fatou; Jallow, Muminatou; Nwakanma, Davis C.; Abubakr, Ismaela; Njie, Fanta; Greenwood, Brian</t>
  </si>
  <si>
    <t>sp_m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</si>
</sst>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ruv Darji" id="{06B6EE49-154F-49A5-90FE-4BBEFB79E9A6}" userId="S::grte3952@ox.ac.uk::7d2c21b5-3c5f-4c31-94fb-94644913a1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1-15T18:11:01.02" personId="{06B6EE49-154F-49A5-90FE-4BBEFB79E9A6}" id="{8D19AA25-D134-47B2-A0D9-2E3203FA9E95}">
    <text>Incidence of SM reported for overall study period, not for year 1</text>
  </threadedComment>
  <threadedComment ref="B5" dT="2026-01-15T18:13:41.52" personId="{06B6EE49-154F-49A5-90FE-4BBEFB79E9A6}" id="{C3E7D1AC-1CB4-45FB-8767-62C320E513AC}">
    <text>Incidence of SM not reported, although authors commented on finding no effect of SMC on SM
Reported efficacy against severe anaemia (Hb &lt; 6 d/dl)
IPD may have SM cases</text>
  </threadedComment>
  <threadedComment ref="B6" dT="2026-01-15T18:14:36.20" personId="{06B6EE49-154F-49A5-90FE-4BBEFB79E9A6}" id="{90088975-DE69-43AA-94A1-4E48A6C64F99}">
    <text>Paper directly reports efficacy against SM</text>
  </threadedComment>
  <threadedComment ref="B7" dT="2026-01-15T18:18:09.83" personId="{06B6EE49-154F-49A5-90FE-4BBEFB79E9A6}" id="{B8E0DC1B-7AA3-45E9-BCAE-2E1FAC1C4D21}">
    <text>5 cases of SM reported in nodrug arm. Person-time of follow-up not reported for severe malaria outcome, hence IRR cannot be readily estimated</text>
  </threadedComment>
  <threadedComment ref="B10" dT="2026-01-15T18:18:51.35" personId="{06B6EE49-154F-49A5-90FE-4BBEFB79E9A6}" id="{05A6749E-0BAD-44A1-88BF-9B4723D51866}">
    <text>Number of cases and person-time reported in placebo arm, hence IRR was estimated.</text>
  </threadedComment>
  <threadedComment ref="B14" dT="2026-01-15T18:41:51.21" personId="{06B6EE49-154F-49A5-90FE-4BBEFB79E9A6}" id="{2AC3DC04-73C5-4E52-9F1B-18F7682D87C8}">
    <text>Data on SM is unclear. Paper mentions:
5 hospital admissions in SP group and 8 (2 SM admissions for same child) in placebo group. Person-time not given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147F-6B3A-4459-BEA8-8C1B57DAB6D5}">
  <dimension ref="A1:Y14"/>
  <sheetViews>
    <sheetView tabSelected="1" workbookViewId="0">
      <selection activeCell="E18" sqref="E18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x14ac:dyDescent="0.3">
      <c r="A2" s="1">
        <v>3</v>
      </c>
      <c r="B2" s="1" t="s">
        <v>24</v>
      </c>
      <c r="C2" s="1" t="s">
        <v>25</v>
      </c>
      <c r="D2" s="1" t="s">
        <v>26</v>
      </c>
      <c r="E2" s="1">
        <v>2021</v>
      </c>
      <c r="F2" s="1" t="s">
        <v>27</v>
      </c>
      <c r="G2" s="1">
        <v>6861</v>
      </c>
      <c r="H2" s="1"/>
      <c r="I2" s="1">
        <v>5</v>
      </c>
      <c r="J2" s="1">
        <v>17</v>
      </c>
      <c r="K2" s="1" t="s">
        <v>28</v>
      </c>
      <c r="L2" s="1"/>
      <c r="M2" s="1"/>
      <c r="N2" s="1" t="s">
        <v>29</v>
      </c>
      <c r="O2" s="1"/>
      <c r="P2" s="1"/>
      <c r="Q2" s="1"/>
      <c r="R2" s="1" t="e">
        <f t="shared" ref="R2:R9" si="0">LN(Q2)</f>
        <v>#NUM!</v>
      </c>
      <c r="S2" s="1"/>
      <c r="T2" s="1" t="e">
        <f t="shared" ref="T2:T9" si="1">LN(S2)</f>
        <v>#NUM!</v>
      </c>
      <c r="U2" s="1"/>
      <c r="V2" s="1" t="e">
        <f t="shared" ref="V2:V9" si="2">LN(U2)</f>
        <v>#NUM!</v>
      </c>
      <c r="W2" s="1" t="e">
        <f>(V2-T2)/3.92</f>
        <v>#NUM!</v>
      </c>
      <c r="X2" s="1" t="s">
        <v>30</v>
      </c>
      <c r="Y2" s="1" t="s">
        <v>31</v>
      </c>
    </row>
    <row r="3" spans="1:25" x14ac:dyDescent="0.3">
      <c r="A3" s="1">
        <v>3</v>
      </c>
      <c r="B3" s="1" t="s">
        <v>24</v>
      </c>
      <c r="C3" s="1" t="s">
        <v>25</v>
      </c>
      <c r="D3" s="1" t="s">
        <v>26</v>
      </c>
      <c r="E3" s="1">
        <v>2021</v>
      </c>
      <c r="F3" s="1" t="s">
        <v>27</v>
      </c>
      <c r="G3" s="1">
        <v>6861</v>
      </c>
      <c r="H3" s="1"/>
      <c r="I3" s="1">
        <v>5</v>
      </c>
      <c r="J3" s="1">
        <v>17</v>
      </c>
      <c r="K3" s="1" t="s">
        <v>32</v>
      </c>
      <c r="L3" s="1"/>
      <c r="M3" s="1"/>
      <c r="N3" s="1" t="s">
        <v>29</v>
      </c>
      <c r="O3" s="1"/>
      <c r="P3" s="1"/>
      <c r="Q3" s="1"/>
      <c r="R3" s="1" t="e">
        <f t="shared" si="0"/>
        <v>#NUM!</v>
      </c>
      <c r="S3" s="1"/>
      <c r="T3" s="1" t="e">
        <f t="shared" si="1"/>
        <v>#NUM!</v>
      </c>
      <c r="U3" s="1"/>
      <c r="V3" s="1" t="e">
        <f t="shared" si="2"/>
        <v>#NUM!</v>
      </c>
      <c r="W3" s="1" t="e">
        <f>(V3-T3)/3.92</f>
        <v>#NUM!</v>
      </c>
      <c r="X3" s="1" t="s">
        <v>30</v>
      </c>
      <c r="Y3" s="1" t="s">
        <v>31</v>
      </c>
    </row>
    <row r="4" spans="1:25" x14ac:dyDescent="0.3">
      <c r="A4" s="1">
        <v>3</v>
      </c>
      <c r="B4" s="1" t="s">
        <v>24</v>
      </c>
      <c r="C4" s="1" t="s">
        <v>25</v>
      </c>
      <c r="D4" s="1" t="s">
        <v>26</v>
      </c>
      <c r="E4" s="1">
        <v>2021</v>
      </c>
      <c r="F4" s="1" t="s">
        <v>27</v>
      </c>
      <c r="G4" s="1">
        <v>6861</v>
      </c>
      <c r="H4" s="1"/>
      <c r="I4" s="1">
        <v>5</v>
      </c>
      <c r="J4" s="1">
        <v>17</v>
      </c>
      <c r="K4" s="1" t="s">
        <v>32</v>
      </c>
      <c r="L4" s="1"/>
      <c r="M4" s="1"/>
      <c r="N4" s="1" t="s">
        <v>28</v>
      </c>
      <c r="O4" s="1"/>
      <c r="P4" s="1"/>
      <c r="Q4" s="1"/>
      <c r="R4" s="1" t="e">
        <f t="shared" si="0"/>
        <v>#NUM!</v>
      </c>
      <c r="S4" s="1"/>
      <c r="T4" s="1" t="e">
        <f t="shared" si="1"/>
        <v>#NUM!</v>
      </c>
      <c r="U4" s="1"/>
      <c r="V4" s="1" t="e">
        <f t="shared" si="2"/>
        <v>#NUM!</v>
      </c>
      <c r="W4" s="1" t="e">
        <f>(V4-T4)/3.92</f>
        <v>#NUM!</v>
      </c>
      <c r="X4" s="1" t="s">
        <v>30</v>
      </c>
      <c r="Y4" s="1" t="s">
        <v>31</v>
      </c>
    </row>
    <row r="5" spans="1:25" x14ac:dyDescent="0.3">
      <c r="A5" s="1">
        <v>4</v>
      </c>
      <c r="B5" s="1" t="s">
        <v>33</v>
      </c>
      <c r="C5" s="1" t="s">
        <v>34</v>
      </c>
      <c r="D5" s="1" t="s">
        <v>35</v>
      </c>
      <c r="E5" s="1">
        <v>2019</v>
      </c>
      <c r="F5" s="1" t="s">
        <v>36</v>
      </c>
      <c r="G5" s="1">
        <v>4546</v>
      </c>
      <c r="H5" s="1"/>
      <c r="I5" s="1">
        <v>3</v>
      </c>
      <c r="J5" s="1">
        <v>119</v>
      </c>
      <c r="K5" s="1" t="s">
        <v>29</v>
      </c>
      <c r="L5" s="1" t="s">
        <v>37</v>
      </c>
      <c r="M5" s="1"/>
      <c r="N5" s="1" t="s">
        <v>38</v>
      </c>
      <c r="O5" s="1" t="s">
        <v>37</v>
      </c>
      <c r="P5" s="1"/>
      <c r="Q5" s="1"/>
      <c r="R5" s="1" t="e">
        <f t="shared" si="0"/>
        <v>#NUM!</v>
      </c>
      <c r="S5" s="1"/>
      <c r="T5" s="1" t="e">
        <f t="shared" si="1"/>
        <v>#NUM!</v>
      </c>
      <c r="U5" s="1"/>
      <c r="V5" s="1" t="e">
        <f t="shared" si="2"/>
        <v>#NUM!</v>
      </c>
      <c r="W5" s="1" t="e">
        <f>(V5-T5)/3.92</f>
        <v>#NUM!</v>
      </c>
      <c r="X5" s="1" t="s">
        <v>30</v>
      </c>
      <c r="Y5" s="1" t="s">
        <v>31</v>
      </c>
    </row>
    <row r="6" spans="1:25" s="2" customFormat="1" x14ac:dyDescent="0.3">
      <c r="A6" s="2">
        <v>7</v>
      </c>
      <c r="B6" s="2" t="s">
        <v>39</v>
      </c>
      <c r="C6" s="2" t="s">
        <v>40</v>
      </c>
      <c r="D6" s="2" t="s">
        <v>41</v>
      </c>
      <c r="E6" s="2">
        <v>2016</v>
      </c>
      <c r="F6" s="2" t="s">
        <v>36</v>
      </c>
      <c r="I6" s="2">
        <v>3</v>
      </c>
      <c r="J6" s="2">
        <v>119</v>
      </c>
      <c r="K6" s="2" t="s">
        <v>29</v>
      </c>
      <c r="N6" s="2" t="s">
        <v>38</v>
      </c>
      <c r="Q6" s="2">
        <v>0.55000000000000004</v>
      </c>
      <c r="R6" s="2">
        <f t="shared" si="0"/>
        <v>-0.59783700075562041</v>
      </c>
      <c r="S6" s="2">
        <v>0.32</v>
      </c>
      <c r="T6" s="2">
        <f t="shared" si="1"/>
        <v>-1.1394342831883648</v>
      </c>
      <c r="U6" s="2">
        <v>0.95</v>
      </c>
      <c r="V6" s="2">
        <f t="shared" si="2"/>
        <v>-5.1293294387550578E-2</v>
      </c>
      <c r="W6" s="2">
        <f t="shared" ref="W6:W9" si="3">(V6-T6)/3.92</f>
        <v>0.2775869869389832</v>
      </c>
      <c r="X6" s="2" t="s">
        <v>30</v>
      </c>
    </row>
    <row r="7" spans="1:25" x14ac:dyDescent="0.3">
      <c r="A7" s="1">
        <v>9</v>
      </c>
      <c r="B7" s="1" t="s">
        <v>42</v>
      </c>
      <c r="C7" s="1" t="s">
        <v>43</v>
      </c>
      <c r="D7" s="1" t="s">
        <v>44</v>
      </c>
      <c r="E7" s="1">
        <v>2011</v>
      </c>
      <c r="F7" s="1" t="s">
        <v>36</v>
      </c>
      <c r="G7" s="1">
        <v>1000</v>
      </c>
      <c r="H7" s="1"/>
      <c r="I7" s="1">
        <v>12</v>
      </c>
      <c r="J7" s="1">
        <v>119</v>
      </c>
      <c r="K7" s="1" t="s">
        <v>29</v>
      </c>
      <c r="L7" s="1" t="s">
        <v>45</v>
      </c>
      <c r="M7" s="1"/>
      <c r="N7" s="1" t="s">
        <v>38</v>
      </c>
      <c r="O7" s="1">
        <v>5</v>
      </c>
      <c r="P7" s="1"/>
      <c r="Q7" s="1"/>
      <c r="R7" s="1" t="e">
        <f t="shared" si="0"/>
        <v>#NUM!</v>
      </c>
      <c r="S7" s="1"/>
      <c r="T7" s="1" t="e">
        <f t="shared" si="1"/>
        <v>#NUM!</v>
      </c>
      <c r="U7" s="1"/>
      <c r="V7" s="1" t="e">
        <f t="shared" si="2"/>
        <v>#NUM!</v>
      </c>
      <c r="W7" s="1" t="e">
        <f t="shared" si="3"/>
        <v>#NUM!</v>
      </c>
      <c r="X7" s="1" t="s">
        <v>30</v>
      </c>
      <c r="Y7" s="1" t="s">
        <v>46</v>
      </c>
    </row>
    <row r="8" spans="1:25" s="2" customFormat="1" x14ac:dyDescent="0.3">
      <c r="A8" s="2">
        <v>10</v>
      </c>
      <c r="B8" s="2" t="s">
        <v>47</v>
      </c>
      <c r="C8" s="2" t="s">
        <v>48</v>
      </c>
      <c r="D8" s="2" t="s">
        <v>49</v>
      </c>
      <c r="E8" s="2">
        <v>2011</v>
      </c>
      <c r="F8" s="2" t="s">
        <v>27</v>
      </c>
      <c r="G8" s="2">
        <v>3017</v>
      </c>
      <c r="I8" s="2">
        <v>3</v>
      </c>
      <c r="J8" s="2">
        <v>59</v>
      </c>
      <c r="K8" s="2" t="s">
        <v>29</v>
      </c>
      <c r="L8" s="2">
        <v>2</v>
      </c>
      <c r="M8" s="2">
        <f>(399.1*12)</f>
        <v>4789.2000000000007</v>
      </c>
      <c r="N8" s="2" t="s">
        <v>50</v>
      </c>
      <c r="O8" s="2">
        <v>15</v>
      </c>
      <c r="P8" s="2">
        <f>(400.87*12)</f>
        <v>4810.4400000000005</v>
      </c>
      <c r="Q8" s="2">
        <v>0.13</v>
      </c>
      <c r="R8" s="2">
        <f t="shared" si="0"/>
        <v>-2.0402208285265546</v>
      </c>
      <c r="S8" s="2">
        <v>0.01</v>
      </c>
      <c r="T8" s="2">
        <f t="shared" si="1"/>
        <v>-4.6051701859880909</v>
      </c>
      <c r="U8" s="2">
        <v>0.57999999999999996</v>
      </c>
      <c r="V8" s="2">
        <f t="shared" si="2"/>
        <v>-0.54472717544167215</v>
      </c>
      <c r="W8" s="2">
        <f t="shared" si="3"/>
        <v>1.0358272986087804</v>
      </c>
      <c r="X8" s="2" t="s">
        <v>30</v>
      </c>
    </row>
    <row r="9" spans="1:25" s="2" customFormat="1" x14ac:dyDescent="0.3">
      <c r="A9" s="2">
        <v>11</v>
      </c>
      <c r="B9" s="2" t="s">
        <v>51</v>
      </c>
      <c r="C9" s="2" t="s">
        <v>52</v>
      </c>
      <c r="D9" s="2" t="s">
        <v>53</v>
      </c>
      <c r="E9" s="2">
        <v>2011</v>
      </c>
      <c r="F9" s="2" t="s">
        <v>27</v>
      </c>
      <c r="G9" s="2">
        <v>3014</v>
      </c>
      <c r="I9" s="2">
        <v>3</v>
      </c>
      <c r="J9" s="2">
        <v>59</v>
      </c>
      <c r="K9" s="2" t="s">
        <v>29</v>
      </c>
      <c r="N9" s="2" t="s">
        <v>50</v>
      </c>
      <c r="Q9" s="2">
        <v>0.31</v>
      </c>
      <c r="R9" s="2">
        <f t="shared" si="0"/>
        <v>-1.1711829815029451</v>
      </c>
      <c r="S9" s="2">
        <v>0.1</v>
      </c>
      <c r="T9" s="2">
        <f t="shared" si="1"/>
        <v>-2.3025850929940455</v>
      </c>
      <c r="U9" s="2">
        <v>0.94</v>
      </c>
      <c r="V9" s="2">
        <f t="shared" si="2"/>
        <v>-6.1875403718087529E-2</v>
      </c>
      <c r="W9" s="2">
        <f t="shared" si="3"/>
        <v>0.57160961461121373</v>
      </c>
      <c r="X9" s="2" t="s">
        <v>30</v>
      </c>
    </row>
    <row r="10" spans="1:25" s="2" customFormat="1" x14ac:dyDescent="0.3">
      <c r="A10" s="2">
        <v>16</v>
      </c>
      <c r="B10" s="2" t="s">
        <v>54</v>
      </c>
      <c r="C10" s="2" t="s">
        <v>55</v>
      </c>
      <c r="D10" s="2" t="s">
        <v>56</v>
      </c>
      <c r="E10" s="2">
        <v>2008</v>
      </c>
      <c r="F10" s="2" t="s">
        <v>27</v>
      </c>
      <c r="G10" s="2">
        <v>262</v>
      </c>
      <c r="I10" s="2">
        <v>6</v>
      </c>
      <c r="J10" s="2">
        <v>119</v>
      </c>
      <c r="K10" s="2" t="s">
        <v>57</v>
      </c>
      <c r="L10" s="2" t="s">
        <v>45</v>
      </c>
      <c r="N10" s="2" t="s">
        <v>38</v>
      </c>
      <c r="O10" s="2">
        <v>5</v>
      </c>
      <c r="P10" s="2">
        <v>3422.0340000000001</v>
      </c>
      <c r="R10" s="2">
        <v>-1.2398916799999999</v>
      </c>
      <c r="T10" s="2">
        <v>-2.6727889999999999</v>
      </c>
      <c r="V10" s="2">
        <v>0.12576908000000001</v>
      </c>
      <c r="W10" s="2">
        <f>(V10-T10)/3.92</f>
        <v>0.71391787755102043</v>
      </c>
      <c r="X10" s="2" t="s">
        <v>30</v>
      </c>
    </row>
    <row r="11" spans="1:25" s="2" customFormat="1" x14ac:dyDescent="0.3">
      <c r="A11" s="2">
        <v>17</v>
      </c>
      <c r="B11" s="2" t="s">
        <v>58</v>
      </c>
      <c r="C11" s="2" t="s">
        <v>59</v>
      </c>
      <c r="D11" s="2" t="s">
        <v>60</v>
      </c>
      <c r="E11" s="2">
        <v>2008</v>
      </c>
      <c r="F11" s="2" t="s">
        <v>27</v>
      </c>
      <c r="G11" s="2">
        <v>2451</v>
      </c>
      <c r="I11" s="2">
        <v>3</v>
      </c>
      <c r="J11" s="2">
        <v>59</v>
      </c>
      <c r="K11" s="2" t="s">
        <v>57</v>
      </c>
      <c r="L11" s="2">
        <v>19</v>
      </c>
      <c r="N11" s="2" t="s">
        <v>50</v>
      </c>
      <c r="O11" s="2">
        <v>19</v>
      </c>
      <c r="Q11" s="2">
        <v>0.92600000000000005</v>
      </c>
      <c r="R11" s="2">
        <f t="shared" ref="R11:R13" si="4">LN(Q11)</f>
        <v>-7.6881044335957618E-2</v>
      </c>
      <c r="S11" s="2">
        <v>0.28599999999999998</v>
      </c>
      <c r="T11" s="2">
        <f t="shared" ref="T11:T13" si="5">LN(S11)</f>
        <v>-1.2517634681622845</v>
      </c>
      <c r="U11" s="2">
        <v>2.99</v>
      </c>
      <c r="V11" s="2">
        <f t="shared" ref="V11:V13" si="6">LN(U11)</f>
        <v>1.0952733874025951</v>
      </c>
      <c r="W11" s="2">
        <f t="shared" ref="W11:W13" si="7">(V11-T11)/3.92</f>
        <v>0.59873389172573455</v>
      </c>
      <c r="X11" s="2" t="s">
        <v>30</v>
      </c>
      <c r="Y11" s="2" t="s">
        <v>61</v>
      </c>
    </row>
    <row r="12" spans="1:25" s="2" customFormat="1" x14ac:dyDescent="0.3">
      <c r="A12" s="2">
        <v>17</v>
      </c>
      <c r="B12" s="2" t="s">
        <v>58</v>
      </c>
      <c r="C12" s="2" t="s">
        <v>59</v>
      </c>
      <c r="D12" s="2" t="s">
        <v>60</v>
      </c>
      <c r="E12" s="2">
        <v>2008</v>
      </c>
      <c r="F12" s="2" t="s">
        <v>27</v>
      </c>
      <c r="G12" s="2">
        <v>2451</v>
      </c>
      <c r="I12" s="2">
        <v>3</v>
      </c>
      <c r="J12" s="2">
        <v>59</v>
      </c>
      <c r="K12" s="2" t="s">
        <v>62</v>
      </c>
      <c r="L12" s="2">
        <v>7</v>
      </c>
      <c r="N12" s="2" t="s">
        <v>50</v>
      </c>
      <c r="O12" s="2">
        <v>19</v>
      </c>
      <c r="Q12" s="2">
        <v>1.105</v>
      </c>
      <c r="R12" s="2">
        <f t="shared" si="4"/>
        <v>9.9845334969716121E-2</v>
      </c>
      <c r="S12" s="2">
        <v>0.441</v>
      </c>
      <c r="T12" s="2">
        <f t="shared" si="5"/>
        <v>-0.81871040353529101</v>
      </c>
      <c r="U12" s="2">
        <v>9.15</v>
      </c>
      <c r="V12" s="2">
        <f t="shared" si="6"/>
        <v>2.2137538792874301</v>
      </c>
      <c r="W12" s="2">
        <f t="shared" si="7"/>
        <v>0.77358782725069408</v>
      </c>
      <c r="X12" s="2" t="s">
        <v>30</v>
      </c>
      <c r="Y12" s="2" t="s">
        <v>61</v>
      </c>
    </row>
    <row r="13" spans="1:25" s="2" customFormat="1" x14ac:dyDescent="0.3">
      <c r="A13" s="2">
        <v>17</v>
      </c>
      <c r="B13" s="2" t="s">
        <v>58</v>
      </c>
      <c r="C13" s="2" t="s">
        <v>59</v>
      </c>
      <c r="D13" s="2" t="s">
        <v>60</v>
      </c>
      <c r="E13" s="2">
        <v>2008</v>
      </c>
      <c r="F13" s="2" t="s">
        <v>27</v>
      </c>
      <c r="G13" s="2">
        <v>2451</v>
      </c>
      <c r="I13" s="2">
        <v>3</v>
      </c>
      <c r="J13" s="2">
        <v>59</v>
      </c>
      <c r="K13" s="2" t="s">
        <v>63</v>
      </c>
      <c r="L13" s="2">
        <v>7</v>
      </c>
      <c r="N13" s="2" t="s">
        <v>50</v>
      </c>
      <c r="O13" s="2">
        <v>19</v>
      </c>
      <c r="Q13" s="2">
        <v>1.151</v>
      </c>
      <c r="R13" s="2">
        <f t="shared" si="4"/>
        <v>0.14063112973974562</v>
      </c>
      <c r="S13" s="2">
        <v>0.189</v>
      </c>
      <c r="T13" s="2">
        <f t="shared" si="5"/>
        <v>-1.6660082639224947</v>
      </c>
      <c r="U13" s="2">
        <v>3.8180000000000001</v>
      </c>
      <c r="V13" s="2">
        <f t="shared" si="6"/>
        <v>1.3397267253035559</v>
      </c>
      <c r="W13" s="2">
        <f t="shared" si="7"/>
        <v>0.76676912990460477</v>
      </c>
      <c r="X13" s="2" t="s">
        <v>30</v>
      </c>
      <c r="Y13" s="2" t="s">
        <v>61</v>
      </c>
    </row>
    <row r="14" spans="1:25" x14ac:dyDescent="0.3">
      <c r="A14" s="1">
        <v>19</v>
      </c>
      <c r="B14" s="1" t="s">
        <v>64</v>
      </c>
      <c r="C14" s="1" t="s">
        <v>65</v>
      </c>
      <c r="D14" s="1" t="s">
        <v>66</v>
      </c>
      <c r="E14" s="1">
        <v>2010</v>
      </c>
      <c r="F14" s="1" t="s">
        <v>27</v>
      </c>
      <c r="G14" s="1">
        <v>1200</v>
      </c>
      <c r="H14" s="1"/>
      <c r="I14" s="1">
        <v>3</v>
      </c>
      <c r="J14" s="1">
        <v>119</v>
      </c>
      <c r="K14" s="1" t="s">
        <v>67</v>
      </c>
      <c r="L14" s="1"/>
      <c r="M14" s="1"/>
      <c r="N14" s="1" t="s">
        <v>50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 t="s">
        <v>31</v>
      </c>
    </row>
  </sheetData>
  <dataValidations count="1">
    <dataValidation type="list" allowBlank="1" showInputMessage="1" showErrorMessage="1" sqref="F2:F14" xr:uid="{DAEB8BF7-B56A-4022-9A43-3DE4D2E86D95}">
      <formula1>"cRCT, iRCT"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Darji</dc:creator>
  <cp:lastModifiedBy>Dhruv Darji</cp:lastModifiedBy>
  <dcterms:created xsi:type="dcterms:W3CDTF">2026-01-15T19:15:31Z</dcterms:created>
  <dcterms:modified xsi:type="dcterms:W3CDTF">2026-01-16T05:56:19Z</dcterms:modified>
</cp:coreProperties>
</file>